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Projection" sheetId="2" state="visible" r:id="rId2"/>
    <sheet name="Expense History" sheetId="3" state="visible" r:id="rId3"/>
    <sheet name="Non-Monthly 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</font>
    <font>
      <b val="1"/>
      <color rgb="00FFFFFF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164" fontId="2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0" fillId="6" borderId="0" pivotButton="0" quotePrefix="0" xfId="0"/>
    <xf numFmtId="166" fontId="0" fillId="6" borderId="0" pivotButton="0" quotePrefix="0" xfId="0"/>
    <xf numFmtId="164" fontId="0" fillId="6" borderId="0" pivotButton="0" quotePrefix="0" xfId="0"/>
    <xf numFmtId="164" fontId="2" fillId="6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Account Balance Tracker - Configuration</t>
        </is>
      </c>
    </row>
    <row r="3">
      <c r="A3" s="2" t="inlineStr">
        <is>
          <t>Starting Balance</t>
        </is>
      </c>
      <c r="B3" s="3" t="n">
        <v>10000</v>
      </c>
    </row>
    <row r="4">
      <c r="A4" s="2" t="inlineStr">
        <is>
          <t>Starting Date</t>
        </is>
      </c>
      <c r="B4" s="4" t="n">
        <v>46023</v>
      </c>
    </row>
    <row r="6">
      <c r="A6" s="5" t="inlineStr">
        <is>
          <t>INCOME SETTINGS</t>
        </is>
      </c>
    </row>
    <row r="7">
      <c r="A7" s="2" t="inlineStr">
        <is>
          <t>Bi-Weekly Salary</t>
        </is>
      </c>
      <c r="B7" s="3" t="n">
        <v>3000</v>
      </c>
    </row>
    <row r="8">
      <c r="A8" s="2" t="inlineStr">
        <is>
          <t>Annual Salary Increase %</t>
        </is>
      </c>
      <c r="B8" s="6" t="n">
        <v>0.03</v>
      </c>
    </row>
    <row r="9">
      <c r="A9" s="2" t="inlineStr">
        <is>
          <t>Next Salary Increase Date</t>
        </is>
      </c>
      <c r="B9" s="4" t="n">
        <v>46388</v>
      </c>
    </row>
  </sheetData>
  <mergeCells count="2">
    <mergeCell ref="A1:D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Account Balance Projection</t>
        </is>
      </c>
    </row>
    <row r="2">
      <c r="A2" s="7" t="inlineStr">
        <is>
          <t>This sheet projects your account balance based on recurring expenses and income.</t>
        </is>
      </c>
    </row>
    <row r="3">
      <c r="A3" s="7" t="inlineStr">
        <is>
          <t>Add one-time expenses in the 'Other Expenses' column. Non-monthly expenses appear in their own column.</t>
        </is>
      </c>
    </row>
    <row r="5">
      <c r="A5" s="8" t="inlineStr">
        <is>
          <t>Month</t>
        </is>
      </c>
      <c r="B5" s="8" t="inlineStr">
        <is>
          <t>Date</t>
        </is>
      </c>
      <c r="C5" s="8" t="inlineStr">
        <is>
          <t>Income</t>
        </is>
      </c>
      <c r="D5" s="8" t="inlineStr">
        <is>
          <t>Xcel Energy</t>
        </is>
      </c>
      <c r="E5" s="8" t="inlineStr">
        <is>
          <t>Verizon Wireless</t>
        </is>
      </c>
      <c r="F5" s="8" t="inlineStr">
        <is>
          <t>Lawn Mowing</t>
        </is>
      </c>
      <c r="G5" s="8" t="inlineStr">
        <is>
          <t>Dog Walking</t>
        </is>
      </c>
      <c r="H5" s="8" t="inlineStr">
        <is>
          <t>Non-Monthly</t>
        </is>
      </c>
      <c r="I5" s="8" t="inlineStr">
        <is>
          <t>Other Expenses</t>
        </is>
      </c>
      <c r="J5" s="8" t="inlineStr">
        <is>
          <t>Total Recurring</t>
        </is>
      </c>
      <c r="K5" s="8" t="inlineStr">
        <is>
          <t>Total Expenses</t>
        </is>
      </c>
      <c r="L5" s="8" t="inlineStr">
        <is>
          <t>Balance</t>
        </is>
      </c>
    </row>
    <row r="6">
      <c r="A6" t="inlineStr">
        <is>
          <t>Starting</t>
        </is>
      </c>
      <c r="B6" s="4">
        <f>Configuration!B4</f>
        <v/>
      </c>
      <c r="L6" s="9">
        <f>Configuration!B3</f>
        <v/>
      </c>
    </row>
    <row r="7">
      <c r="A7" t="n">
        <v>1</v>
      </c>
      <c r="B7" s="4">
        <f>DATE(YEAR(B6), MONTH(B6)+1, 1)</f>
        <v/>
      </c>
      <c r="C7" s="3">
        <f>Configuration!B7*2</f>
        <v/>
      </c>
      <c r="D7" s="3" t="n">
        <v>350</v>
      </c>
      <c r="E7" s="3" t="n">
        <v>250</v>
      </c>
      <c r="F7" s="3" t="n">
        <v>160</v>
      </c>
      <c r="G7" s="3" t="n">
        <v>80</v>
      </c>
      <c r="H7" s="10" t="n">
        <v>750</v>
      </c>
      <c r="I7" s="11" t="n">
        <v>0</v>
      </c>
      <c r="J7" s="3">
        <f>SUM(D7:G7)</f>
        <v/>
      </c>
      <c r="K7" s="9">
        <f>SUM(D7:I7)</f>
        <v/>
      </c>
      <c r="L7" s="9">
        <f>L6+C7-K7</f>
        <v/>
      </c>
    </row>
    <row r="8">
      <c r="A8" t="n">
        <v>2</v>
      </c>
      <c r="B8" s="4">
        <f>DATE(YEAR(B6), MONTH(B6)+2, 1)</f>
        <v/>
      </c>
      <c r="C8" s="3">
        <f>Configuration!B7*2</f>
        <v/>
      </c>
      <c r="D8" s="3" t="n">
        <v>350</v>
      </c>
      <c r="E8" s="3" t="n">
        <v>250</v>
      </c>
      <c r="F8" s="3" t="n">
        <v>160</v>
      </c>
      <c r="G8" s="3" t="n">
        <v>80</v>
      </c>
      <c r="H8" s="10" t="n">
        <v>0</v>
      </c>
      <c r="I8" s="11" t="n">
        <v>0</v>
      </c>
      <c r="J8" s="3">
        <f>SUM(D8:G8)</f>
        <v/>
      </c>
      <c r="K8" s="9">
        <f>SUM(D8:I8)</f>
        <v/>
      </c>
      <c r="L8" s="9">
        <f>L7+C8-K8</f>
        <v/>
      </c>
    </row>
    <row r="9">
      <c r="A9" s="12" t="n">
        <v>3</v>
      </c>
      <c r="B9" s="13">
        <f>DATE(YEAR(B6), MONTH(B6)+3, 1)</f>
        <v/>
      </c>
      <c r="C9" s="14">
        <f>Configuration!B7*2</f>
        <v/>
      </c>
      <c r="D9" s="14" t="n">
        <v>350</v>
      </c>
      <c r="E9" s="14" t="n">
        <v>250</v>
      </c>
      <c r="F9" s="14" t="n">
        <v>160</v>
      </c>
      <c r="G9" s="14" t="n">
        <v>80</v>
      </c>
      <c r="H9" s="14" t="n">
        <v>0</v>
      </c>
      <c r="I9" s="14" t="n">
        <v>0</v>
      </c>
      <c r="J9" s="14">
        <f>SUM(D9:G9)</f>
        <v/>
      </c>
      <c r="K9" s="15">
        <f>SUM(D9:I9)</f>
        <v/>
      </c>
      <c r="L9" s="15">
        <f>L8+C9-K9</f>
        <v/>
      </c>
    </row>
    <row r="10">
      <c r="A10" t="n">
        <v>4</v>
      </c>
      <c r="B10" s="4">
        <f>DATE(YEAR(B6), MONTH(B6)+4, 1)</f>
        <v/>
      </c>
      <c r="C10" s="3">
        <f>Configuration!B7*2</f>
        <v/>
      </c>
      <c r="D10" s="3" t="n">
        <v>350</v>
      </c>
      <c r="E10" s="3" t="n">
        <v>250</v>
      </c>
      <c r="F10" s="3" t="n">
        <v>160</v>
      </c>
      <c r="G10" s="3" t="n">
        <v>80</v>
      </c>
      <c r="H10" s="10" t="n">
        <v>2550</v>
      </c>
      <c r="I10" s="11" t="n">
        <v>0</v>
      </c>
      <c r="J10" s="3">
        <f>SUM(D10:G10)</f>
        <v/>
      </c>
      <c r="K10" s="9">
        <f>SUM(D10:I10)</f>
        <v/>
      </c>
      <c r="L10" s="9">
        <f>L9+C10-K10</f>
        <v/>
      </c>
    </row>
    <row r="11">
      <c r="A11" t="n">
        <v>5</v>
      </c>
      <c r="B11" s="4">
        <f>DATE(YEAR(B6), MONTH(B6)+5, 1)</f>
        <v/>
      </c>
      <c r="C11" s="3">
        <f>Configuration!B7*2</f>
        <v/>
      </c>
      <c r="D11" s="3" t="n">
        <v>350</v>
      </c>
      <c r="E11" s="3" t="n">
        <v>250</v>
      </c>
      <c r="F11" s="3" t="n">
        <v>160</v>
      </c>
      <c r="G11" s="3" t="n">
        <v>80</v>
      </c>
      <c r="H11" s="10" t="n">
        <v>0</v>
      </c>
      <c r="I11" s="11" t="n">
        <v>0</v>
      </c>
      <c r="J11" s="3">
        <f>SUM(D11:G11)</f>
        <v/>
      </c>
      <c r="K11" s="9">
        <f>SUM(D11:I11)</f>
        <v/>
      </c>
      <c r="L11" s="9">
        <f>L10+C11-K11</f>
        <v/>
      </c>
    </row>
    <row r="12">
      <c r="A12" s="12" t="n">
        <v>6</v>
      </c>
      <c r="B12" s="13">
        <f>DATE(YEAR(B6), MONTH(B6)+6, 1)</f>
        <v/>
      </c>
      <c r="C12" s="14">
        <f>Configuration!B7*2</f>
        <v/>
      </c>
      <c r="D12" s="14" t="n">
        <v>350</v>
      </c>
      <c r="E12" s="14" t="n">
        <v>250</v>
      </c>
      <c r="F12" s="14" t="n">
        <v>160</v>
      </c>
      <c r="G12" s="14" t="n">
        <v>80</v>
      </c>
      <c r="H12" s="14" t="n">
        <v>0</v>
      </c>
      <c r="I12" s="14" t="n">
        <v>0</v>
      </c>
      <c r="J12" s="14">
        <f>SUM(D12:G12)</f>
        <v/>
      </c>
      <c r="K12" s="15">
        <f>SUM(D12:I12)</f>
        <v/>
      </c>
      <c r="L12" s="15">
        <f>L11+C12-K12</f>
        <v/>
      </c>
    </row>
    <row r="13">
      <c r="A13" t="n">
        <v>7</v>
      </c>
      <c r="B13" s="4">
        <f>DATE(YEAR(B6), MONTH(B6)+7, 1)</f>
        <v/>
      </c>
      <c r="C13" s="3">
        <f>Configuration!B7*2</f>
        <v/>
      </c>
      <c r="D13" s="3" t="n">
        <v>350</v>
      </c>
      <c r="E13" s="3" t="n">
        <v>250</v>
      </c>
      <c r="F13" s="3" t="n">
        <v>160</v>
      </c>
      <c r="G13" s="3" t="n">
        <v>80</v>
      </c>
      <c r="H13" s="10" t="n">
        <v>750</v>
      </c>
      <c r="I13" s="11" t="n">
        <v>0</v>
      </c>
      <c r="J13" s="3">
        <f>SUM(D13:G13)</f>
        <v/>
      </c>
      <c r="K13" s="9">
        <f>SUM(D13:I13)</f>
        <v/>
      </c>
      <c r="L13" s="9">
        <f>L12+C13-K13</f>
        <v/>
      </c>
    </row>
    <row r="14">
      <c r="A14" t="n">
        <v>8</v>
      </c>
      <c r="B14" s="4">
        <f>DATE(YEAR(B6), MONTH(B6)+8, 1)</f>
        <v/>
      </c>
      <c r="C14" s="3">
        <f>Configuration!B7*2</f>
        <v/>
      </c>
      <c r="D14" s="3" t="n">
        <v>350</v>
      </c>
      <c r="E14" s="3" t="n">
        <v>250</v>
      </c>
      <c r="F14" s="3" t="n">
        <v>160</v>
      </c>
      <c r="G14" s="3" t="n">
        <v>80</v>
      </c>
      <c r="H14" s="10" t="n">
        <v>0</v>
      </c>
      <c r="I14" s="11" t="n">
        <v>0</v>
      </c>
      <c r="J14" s="3">
        <f>SUM(D14:G14)</f>
        <v/>
      </c>
      <c r="K14" s="9">
        <f>SUM(D14:I14)</f>
        <v/>
      </c>
      <c r="L14" s="9">
        <f>L13+C14-K14</f>
        <v/>
      </c>
    </row>
    <row r="15">
      <c r="A15" s="12" t="n">
        <v>9</v>
      </c>
      <c r="B15" s="13">
        <f>DATE(YEAR(B6), MONTH(B6)+9, 1)</f>
        <v/>
      </c>
      <c r="C15" s="14">
        <f>Configuration!B7*2</f>
        <v/>
      </c>
      <c r="D15" s="14" t="n">
        <v>280</v>
      </c>
      <c r="E15" s="14" t="n">
        <v>250</v>
      </c>
      <c r="F15" s="14" t="n">
        <v>0</v>
      </c>
      <c r="G15" s="14" t="n">
        <v>80</v>
      </c>
      <c r="H15" s="14" t="n">
        <v>0</v>
      </c>
      <c r="I15" s="14" t="n">
        <v>0</v>
      </c>
      <c r="J15" s="14">
        <f>SUM(D15:G15)</f>
        <v/>
      </c>
      <c r="K15" s="15">
        <f>SUM(D15:I15)</f>
        <v/>
      </c>
      <c r="L15" s="15">
        <f>L14+C15-K15</f>
        <v/>
      </c>
    </row>
    <row r="16">
      <c r="A16" t="n">
        <v>10</v>
      </c>
      <c r="B16" s="4">
        <f>DATE(YEAR(B6), MONTH(B6)+10, 1)</f>
        <v/>
      </c>
      <c r="C16" s="3">
        <f>Configuration!B7*2</f>
        <v/>
      </c>
      <c r="D16" s="3" t="n">
        <v>280</v>
      </c>
      <c r="E16" s="3" t="n">
        <v>250</v>
      </c>
      <c r="F16" s="3" t="n">
        <v>0</v>
      </c>
      <c r="G16" s="3" t="n">
        <v>80</v>
      </c>
      <c r="H16" s="10" t="n">
        <v>150</v>
      </c>
      <c r="I16" s="11" t="n">
        <v>0</v>
      </c>
      <c r="J16" s="3">
        <f>SUM(D16:G16)</f>
        <v/>
      </c>
      <c r="K16" s="9">
        <f>SUM(D16:I16)</f>
        <v/>
      </c>
      <c r="L16" s="9">
        <f>L15+C16-K16</f>
        <v/>
      </c>
    </row>
    <row r="17">
      <c r="A17" t="n">
        <v>11</v>
      </c>
      <c r="B17" s="4">
        <f>DATE(YEAR(B6), MONTH(B6)+11, 1)</f>
        <v/>
      </c>
      <c r="C17" s="3">
        <f>Configuration!B7*2</f>
        <v/>
      </c>
      <c r="D17" s="3" t="n">
        <v>280</v>
      </c>
      <c r="E17" s="3" t="n">
        <v>250</v>
      </c>
      <c r="F17" s="3" t="n">
        <v>0</v>
      </c>
      <c r="G17" s="3" t="n">
        <v>80</v>
      </c>
      <c r="H17" s="10" t="n">
        <v>0</v>
      </c>
      <c r="I17" s="11" t="n">
        <v>0</v>
      </c>
      <c r="J17" s="3">
        <f>SUM(D17:G17)</f>
        <v/>
      </c>
      <c r="K17" s="9">
        <f>SUM(D17:I17)</f>
        <v/>
      </c>
      <c r="L17" s="9">
        <f>L16+C17-K17</f>
        <v/>
      </c>
    </row>
    <row r="18">
      <c r="A18" s="12" t="n">
        <v>12</v>
      </c>
      <c r="B18" s="13">
        <f>DATE(YEAR(B6), MONTH(B6)+12, 1)</f>
        <v/>
      </c>
      <c r="C18" s="14">
        <f>Configuration!B7*2</f>
        <v/>
      </c>
      <c r="D18" s="14" t="n">
        <v>320</v>
      </c>
      <c r="E18" s="14" t="n">
        <v>250</v>
      </c>
      <c r="F18" s="14" t="n">
        <v>0</v>
      </c>
      <c r="G18" s="14" t="n">
        <v>0</v>
      </c>
      <c r="H18" s="14" t="n">
        <v>0</v>
      </c>
      <c r="I18" s="14" t="n">
        <v>0</v>
      </c>
      <c r="J18" s="14">
        <f>SUM(D18:G18)</f>
        <v/>
      </c>
      <c r="K18" s="15">
        <f>SUM(D18:I18)</f>
        <v/>
      </c>
      <c r="L18" s="15">
        <f>L17+C18-K18</f>
        <v/>
      </c>
    </row>
    <row r="19">
      <c r="A19" t="n">
        <v>13</v>
      </c>
      <c r="B19" s="4">
        <f>DATE(YEAR(B6), MONTH(B6)+13, 1)</f>
        <v/>
      </c>
      <c r="C19" s="3">
        <f>Configuration!B7*2</f>
        <v/>
      </c>
      <c r="D19" s="3" t="n">
        <v>320</v>
      </c>
      <c r="E19" s="3" t="n">
        <v>250</v>
      </c>
      <c r="F19" s="3" t="n">
        <v>0</v>
      </c>
      <c r="G19" s="3" t="n">
        <v>0</v>
      </c>
      <c r="H19" s="10" t="n">
        <v>750</v>
      </c>
      <c r="I19" s="11" t="n">
        <v>0</v>
      </c>
      <c r="J19" s="3">
        <f>SUM(D19:G19)</f>
        <v/>
      </c>
      <c r="K19" s="9">
        <f>SUM(D19:I19)</f>
        <v/>
      </c>
      <c r="L19" s="9">
        <f>L18+C19-K19</f>
        <v/>
      </c>
    </row>
    <row r="20">
      <c r="A20" t="n">
        <v>14</v>
      </c>
      <c r="B20" s="4">
        <f>DATE(YEAR(B6), MONTH(B6)+14, 1)</f>
        <v/>
      </c>
      <c r="C20" s="3">
        <f>Configuration!B7*2</f>
        <v/>
      </c>
      <c r="D20" s="3" t="n">
        <v>320</v>
      </c>
      <c r="E20" s="3" t="n">
        <v>250</v>
      </c>
      <c r="F20" s="3" t="n">
        <v>0</v>
      </c>
      <c r="G20" s="3" t="n">
        <v>0</v>
      </c>
      <c r="H20" s="10" t="n">
        <v>0</v>
      </c>
      <c r="I20" s="11" t="n">
        <v>0</v>
      </c>
      <c r="J20" s="3">
        <f>SUM(D20:G20)</f>
        <v/>
      </c>
      <c r="K20" s="9">
        <f>SUM(D20:I20)</f>
        <v/>
      </c>
      <c r="L20" s="9">
        <f>L19+C20-K20</f>
        <v/>
      </c>
    </row>
    <row r="21">
      <c r="A21" s="12" t="n">
        <v>15</v>
      </c>
      <c r="B21" s="13">
        <f>DATE(YEAR(B6), MONTH(B6)+15, 1)</f>
        <v/>
      </c>
      <c r="C21" s="14">
        <f>Configuration!B7*2</f>
        <v/>
      </c>
      <c r="D21" s="14" t="n">
        <v>320</v>
      </c>
      <c r="E21" s="14" t="n">
        <v>250</v>
      </c>
      <c r="F21" s="14" t="n">
        <v>0</v>
      </c>
      <c r="G21" s="14" t="n">
        <v>0</v>
      </c>
      <c r="H21" s="14" t="n">
        <v>0</v>
      </c>
      <c r="I21" s="14" t="n">
        <v>0</v>
      </c>
      <c r="J21" s="14">
        <f>SUM(D21:G21)</f>
        <v/>
      </c>
      <c r="K21" s="15">
        <f>SUM(D21:I21)</f>
        <v/>
      </c>
      <c r="L21" s="15">
        <f>L20+C21-K21</f>
        <v/>
      </c>
    </row>
    <row r="22">
      <c r="A22" t="n">
        <v>16</v>
      </c>
      <c r="B22" s="4">
        <f>DATE(YEAR(B6), MONTH(B6)+16, 1)</f>
        <v/>
      </c>
      <c r="C22" s="3">
        <f>Configuration!B7*2</f>
        <v/>
      </c>
      <c r="D22" s="3" t="n">
        <v>320</v>
      </c>
      <c r="E22" s="3" t="n">
        <v>250</v>
      </c>
      <c r="F22" s="3" t="n">
        <v>0</v>
      </c>
      <c r="G22" s="3" t="n">
        <v>0</v>
      </c>
      <c r="H22" s="10" t="n">
        <v>2550</v>
      </c>
      <c r="I22" s="11" t="n">
        <v>0</v>
      </c>
      <c r="J22" s="3">
        <f>SUM(D22:G22)</f>
        <v/>
      </c>
      <c r="K22" s="9">
        <f>SUM(D22:I22)</f>
        <v/>
      </c>
      <c r="L22" s="9">
        <f>L21+C22-K22</f>
        <v/>
      </c>
    </row>
    <row r="23">
      <c r="A23" t="n">
        <v>17</v>
      </c>
      <c r="B23" s="4">
        <f>DATE(YEAR(B6), MONTH(B6)+17, 1)</f>
        <v/>
      </c>
      <c r="C23" s="3">
        <f>Configuration!B7*2</f>
        <v/>
      </c>
      <c r="D23" s="3" t="n">
        <v>320</v>
      </c>
      <c r="E23" s="3" t="n">
        <v>250</v>
      </c>
      <c r="F23" s="3" t="n">
        <v>0</v>
      </c>
      <c r="G23" s="3" t="n">
        <v>0</v>
      </c>
      <c r="H23" s="10" t="n">
        <v>0</v>
      </c>
      <c r="I23" s="11" t="n">
        <v>0</v>
      </c>
      <c r="J23" s="3">
        <f>SUM(D23:G23)</f>
        <v/>
      </c>
      <c r="K23" s="9">
        <f>SUM(D23:I23)</f>
        <v/>
      </c>
      <c r="L23" s="9">
        <f>L22+C23-K23</f>
        <v/>
      </c>
    </row>
    <row r="24">
      <c r="A24" s="12" t="n">
        <v>18</v>
      </c>
      <c r="B24" s="13">
        <f>DATE(YEAR(B6), MONTH(B6)+18, 1)</f>
        <v/>
      </c>
      <c r="C24" s="14">
        <f>Configuration!B7*2</f>
        <v/>
      </c>
      <c r="D24" s="14" t="n">
        <v>320</v>
      </c>
      <c r="E24" s="14" t="n">
        <v>250</v>
      </c>
      <c r="F24" s="14" t="n">
        <v>0</v>
      </c>
      <c r="G24" s="14" t="n">
        <v>0</v>
      </c>
      <c r="H24" s="14" t="n">
        <v>0</v>
      </c>
      <c r="I24" s="14" t="n">
        <v>0</v>
      </c>
      <c r="J24" s="14">
        <f>SUM(D24:G24)</f>
        <v/>
      </c>
      <c r="K24" s="15">
        <f>SUM(D24:I24)</f>
        <v/>
      </c>
      <c r="L24" s="15">
        <f>L23+C24-K24</f>
        <v/>
      </c>
    </row>
    <row r="25">
      <c r="A25" t="n">
        <v>19</v>
      </c>
      <c r="B25" s="4">
        <f>DATE(YEAR(B6), MONTH(B6)+19, 1)</f>
        <v/>
      </c>
      <c r="C25" s="3">
        <f>Configuration!B7*2</f>
        <v/>
      </c>
      <c r="D25" s="3" t="n">
        <v>320</v>
      </c>
      <c r="E25" s="3" t="n">
        <v>250</v>
      </c>
      <c r="F25" s="3" t="n">
        <v>0</v>
      </c>
      <c r="G25" s="3" t="n">
        <v>0</v>
      </c>
      <c r="H25" s="10" t="n">
        <v>750</v>
      </c>
      <c r="I25" s="11" t="n">
        <v>0</v>
      </c>
      <c r="J25" s="3">
        <f>SUM(D25:G25)</f>
        <v/>
      </c>
      <c r="K25" s="9">
        <f>SUM(D25:I25)</f>
        <v/>
      </c>
      <c r="L25" s="9">
        <f>L24+C25-K25</f>
        <v/>
      </c>
    </row>
    <row r="26">
      <c r="A26" t="n">
        <v>20</v>
      </c>
      <c r="B26" s="4">
        <f>DATE(YEAR(B6), MONTH(B6)+20, 1)</f>
        <v/>
      </c>
      <c r="C26" s="3">
        <f>Configuration!B7*2</f>
        <v/>
      </c>
      <c r="D26" s="3" t="n">
        <v>320</v>
      </c>
      <c r="E26" s="3" t="n">
        <v>250</v>
      </c>
      <c r="F26" s="3" t="n">
        <v>0</v>
      </c>
      <c r="G26" s="3" t="n">
        <v>0</v>
      </c>
      <c r="H26" s="10" t="n">
        <v>0</v>
      </c>
      <c r="I26" s="11" t="n">
        <v>0</v>
      </c>
      <c r="J26" s="3">
        <f>SUM(D26:G26)</f>
        <v/>
      </c>
      <c r="K26" s="9">
        <f>SUM(D26:I26)</f>
        <v/>
      </c>
      <c r="L26" s="9">
        <f>L25+C26-K26</f>
        <v/>
      </c>
    </row>
    <row r="27">
      <c r="A27" s="12" t="n">
        <v>21</v>
      </c>
      <c r="B27" s="13">
        <f>DATE(YEAR(B6), MONTH(B6)+21, 1)</f>
        <v/>
      </c>
      <c r="C27" s="14">
        <f>Configuration!B7*2</f>
        <v/>
      </c>
      <c r="D27" s="14" t="n">
        <v>320</v>
      </c>
      <c r="E27" s="14" t="n">
        <v>250</v>
      </c>
      <c r="F27" s="14" t="n">
        <v>0</v>
      </c>
      <c r="G27" s="14" t="n">
        <v>0</v>
      </c>
      <c r="H27" s="14" t="n">
        <v>0</v>
      </c>
      <c r="I27" s="14" t="n">
        <v>0</v>
      </c>
      <c r="J27" s="14">
        <f>SUM(D27:G27)</f>
        <v/>
      </c>
      <c r="K27" s="15">
        <f>SUM(D27:I27)</f>
        <v/>
      </c>
      <c r="L27" s="15">
        <f>L26+C27-K27</f>
        <v/>
      </c>
    </row>
    <row r="28">
      <c r="A28" t="n">
        <v>22</v>
      </c>
      <c r="B28" s="4">
        <f>DATE(YEAR(B6), MONTH(B6)+22, 1)</f>
        <v/>
      </c>
      <c r="C28" s="3">
        <f>Configuration!B7*2</f>
        <v/>
      </c>
      <c r="D28" s="3" t="n">
        <v>320</v>
      </c>
      <c r="E28" s="3" t="n">
        <v>250</v>
      </c>
      <c r="F28" s="3" t="n">
        <v>0</v>
      </c>
      <c r="G28" s="3" t="n">
        <v>0</v>
      </c>
      <c r="H28" s="10" t="n">
        <v>150</v>
      </c>
      <c r="I28" s="11" t="n">
        <v>0</v>
      </c>
      <c r="J28" s="3">
        <f>SUM(D28:G28)</f>
        <v/>
      </c>
      <c r="K28" s="9">
        <f>SUM(D28:I28)</f>
        <v/>
      </c>
      <c r="L28" s="9">
        <f>L27+C28-K28</f>
        <v/>
      </c>
    </row>
    <row r="29">
      <c r="A29" t="n">
        <v>23</v>
      </c>
      <c r="B29" s="4">
        <f>DATE(YEAR(B6), MONTH(B6)+23, 1)</f>
        <v/>
      </c>
      <c r="C29" s="3">
        <f>Configuration!B7*2</f>
        <v/>
      </c>
      <c r="D29" s="3" t="n">
        <v>320</v>
      </c>
      <c r="E29" s="3" t="n">
        <v>250</v>
      </c>
      <c r="F29" s="3" t="n">
        <v>0</v>
      </c>
      <c r="G29" s="3" t="n">
        <v>0</v>
      </c>
      <c r="H29" s="10" t="n">
        <v>0</v>
      </c>
      <c r="I29" s="11" t="n">
        <v>0</v>
      </c>
      <c r="J29" s="3">
        <f>SUM(D29:G29)</f>
        <v/>
      </c>
      <c r="K29" s="9">
        <f>SUM(D29:I29)</f>
        <v/>
      </c>
      <c r="L29" s="9">
        <f>L28+C29-K29</f>
        <v/>
      </c>
    </row>
    <row r="30">
      <c r="A30" s="12" t="n">
        <v>24</v>
      </c>
      <c r="B30" s="13">
        <f>DATE(YEAR(B6), MONTH(B6)+24, 1)</f>
        <v/>
      </c>
      <c r="C30" s="14">
        <f>Configuration!B7*2</f>
        <v/>
      </c>
      <c r="D30" s="14" t="n">
        <v>320</v>
      </c>
      <c r="E30" s="14" t="n">
        <v>250</v>
      </c>
      <c r="F30" s="14" t="n">
        <v>0</v>
      </c>
      <c r="G30" s="14" t="n">
        <v>0</v>
      </c>
      <c r="H30" s="14" t="n">
        <v>0</v>
      </c>
      <c r="I30" s="14" t="n">
        <v>0</v>
      </c>
      <c r="J30" s="14">
        <f>SUM(D30:G30)</f>
        <v/>
      </c>
      <c r="K30" s="15">
        <f>SUM(D30:I30)</f>
        <v/>
      </c>
      <c r="L30" s="15">
        <f>L29+C30-K30</f>
        <v/>
      </c>
    </row>
    <row r="31">
      <c r="A31" t="n">
        <v>25</v>
      </c>
      <c r="B31" s="4">
        <f>DATE(YEAR(B6), MONTH(B6)+25, 1)</f>
        <v/>
      </c>
      <c r="C31" s="3">
        <f>Configuration!B7*2</f>
        <v/>
      </c>
      <c r="D31" s="3" t="n">
        <v>320</v>
      </c>
      <c r="E31" s="3" t="n">
        <v>250</v>
      </c>
      <c r="F31" s="3" t="n">
        <v>0</v>
      </c>
      <c r="G31" s="3" t="n">
        <v>0</v>
      </c>
      <c r="H31" s="10" t="n">
        <v>750</v>
      </c>
      <c r="I31" s="11" t="n">
        <v>0</v>
      </c>
      <c r="J31" s="3">
        <f>SUM(D31:G31)</f>
        <v/>
      </c>
      <c r="K31" s="9">
        <f>SUM(D31:I31)</f>
        <v/>
      </c>
      <c r="L31" s="9">
        <f>L30+C31-K31</f>
        <v/>
      </c>
    </row>
    <row r="32">
      <c r="A32" t="n">
        <v>26</v>
      </c>
      <c r="B32" s="4">
        <f>DATE(YEAR(B6), MONTH(B6)+26, 1)</f>
        <v/>
      </c>
      <c r="C32" s="3">
        <f>Configuration!B7*2</f>
        <v/>
      </c>
      <c r="D32" s="3" t="n">
        <v>320</v>
      </c>
      <c r="E32" s="3" t="n">
        <v>250</v>
      </c>
      <c r="F32" s="3" t="n">
        <v>0</v>
      </c>
      <c r="G32" s="3" t="n">
        <v>0</v>
      </c>
      <c r="H32" s="10" t="n">
        <v>0</v>
      </c>
      <c r="I32" s="11" t="n">
        <v>0</v>
      </c>
      <c r="J32" s="3">
        <f>SUM(D32:G32)</f>
        <v/>
      </c>
      <c r="K32" s="9">
        <f>SUM(D32:I32)</f>
        <v/>
      </c>
      <c r="L32" s="9">
        <f>L31+C32-K32</f>
        <v/>
      </c>
    </row>
    <row r="33">
      <c r="A33" s="12" t="n">
        <v>27</v>
      </c>
      <c r="B33" s="13">
        <f>DATE(YEAR(B6), MONTH(B6)+27, 1)</f>
        <v/>
      </c>
      <c r="C33" s="14">
        <f>Configuration!B7*2</f>
        <v/>
      </c>
      <c r="D33" s="14" t="n">
        <v>320</v>
      </c>
      <c r="E33" s="14" t="n">
        <v>250</v>
      </c>
      <c r="F33" s="14" t="n">
        <v>0</v>
      </c>
      <c r="G33" s="14" t="n">
        <v>0</v>
      </c>
      <c r="H33" s="14" t="n">
        <v>0</v>
      </c>
      <c r="I33" s="14" t="n">
        <v>0</v>
      </c>
      <c r="J33" s="14">
        <f>SUM(D33:G33)</f>
        <v/>
      </c>
      <c r="K33" s="15">
        <f>SUM(D33:I33)</f>
        <v/>
      </c>
      <c r="L33" s="15">
        <f>L32+C33-K33</f>
        <v/>
      </c>
    </row>
    <row r="34">
      <c r="A34" t="n">
        <v>28</v>
      </c>
      <c r="B34" s="4">
        <f>DATE(YEAR(B6), MONTH(B6)+28, 1)</f>
        <v/>
      </c>
      <c r="C34" s="3">
        <f>Configuration!B7*2</f>
        <v/>
      </c>
      <c r="D34" s="3" t="n">
        <v>320</v>
      </c>
      <c r="E34" s="3" t="n">
        <v>250</v>
      </c>
      <c r="F34" s="3" t="n">
        <v>0</v>
      </c>
      <c r="G34" s="3" t="n">
        <v>0</v>
      </c>
      <c r="H34" s="10" t="n">
        <v>2550</v>
      </c>
      <c r="I34" s="11" t="n">
        <v>0</v>
      </c>
      <c r="J34" s="3">
        <f>SUM(D34:G34)</f>
        <v/>
      </c>
      <c r="K34" s="9">
        <f>SUM(D34:I34)</f>
        <v/>
      </c>
      <c r="L34" s="9">
        <f>L33+C34-K34</f>
        <v/>
      </c>
    </row>
    <row r="35">
      <c r="A35" t="n">
        <v>29</v>
      </c>
      <c r="B35" s="4">
        <f>DATE(YEAR(B6), MONTH(B6)+29, 1)</f>
        <v/>
      </c>
      <c r="C35" s="3">
        <f>Configuration!B7*2</f>
        <v/>
      </c>
      <c r="D35" s="3" t="n">
        <v>320</v>
      </c>
      <c r="E35" s="3" t="n">
        <v>250</v>
      </c>
      <c r="F35" s="3" t="n">
        <v>0</v>
      </c>
      <c r="G35" s="3" t="n">
        <v>0</v>
      </c>
      <c r="H35" s="10" t="n">
        <v>0</v>
      </c>
      <c r="I35" s="11" t="n">
        <v>0</v>
      </c>
      <c r="J35" s="3">
        <f>SUM(D35:G35)</f>
        <v/>
      </c>
      <c r="K35" s="9">
        <f>SUM(D35:I35)</f>
        <v/>
      </c>
      <c r="L35" s="9">
        <f>L34+C35-K35</f>
        <v/>
      </c>
    </row>
    <row r="36">
      <c r="A36" s="12" t="n">
        <v>30</v>
      </c>
      <c r="B36" s="13">
        <f>DATE(YEAR(B6), MONTH(B6)+30, 1)</f>
        <v/>
      </c>
      <c r="C36" s="14">
        <f>Configuration!B7*2</f>
        <v/>
      </c>
      <c r="D36" s="14" t="n">
        <v>320</v>
      </c>
      <c r="E36" s="14" t="n">
        <v>250</v>
      </c>
      <c r="F36" s="14" t="n">
        <v>0</v>
      </c>
      <c r="G36" s="14" t="n">
        <v>0</v>
      </c>
      <c r="H36" s="14" t="n">
        <v>0</v>
      </c>
      <c r="I36" s="14" t="n">
        <v>0</v>
      </c>
      <c r="J36" s="14">
        <f>SUM(D36:G36)</f>
        <v/>
      </c>
      <c r="K36" s="15">
        <f>SUM(D36:I36)</f>
        <v/>
      </c>
      <c r="L36" s="15">
        <f>L35+C36-K36</f>
        <v/>
      </c>
    </row>
    <row r="37">
      <c r="A37" t="n">
        <v>31</v>
      </c>
      <c r="B37" s="4">
        <f>DATE(YEAR(B6), MONTH(B6)+31, 1)</f>
        <v/>
      </c>
      <c r="C37" s="3">
        <f>Configuration!B7*2</f>
        <v/>
      </c>
      <c r="D37" s="3" t="n">
        <v>320</v>
      </c>
      <c r="E37" s="3" t="n">
        <v>250</v>
      </c>
      <c r="F37" s="3" t="n">
        <v>0</v>
      </c>
      <c r="G37" s="3" t="n">
        <v>0</v>
      </c>
      <c r="H37" s="10" t="n">
        <v>750</v>
      </c>
      <c r="I37" s="11" t="n">
        <v>0</v>
      </c>
      <c r="J37" s="3">
        <f>SUM(D37:G37)</f>
        <v/>
      </c>
      <c r="K37" s="9">
        <f>SUM(D37:I37)</f>
        <v/>
      </c>
      <c r="L37" s="9">
        <f>L36+C37-K37</f>
        <v/>
      </c>
    </row>
    <row r="38">
      <c r="A38" t="n">
        <v>32</v>
      </c>
      <c r="B38" s="4">
        <f>DATE(YEAR(B6), MONTH(B6)+32, 1)</f>
        <v/>
      </c>
      <c r="C38" s="3">
        <f>Configuration!B7*2</f>
        <v/>
      </c>
      <c r="D38" s="3" t="n">
        <v>320</v>
      </c>
      <c r="E38" s="3" t="n">
        <v>250</v>
      </c>
      <c r="F38" s="3" t="n">
        <v>0</v>
      </c>
      <c r="G38" s="3" t="n">
        <v>0</v>
      </c>
      <c r="H38" s="10" t="n">
        <v>0</v>
      </c>
      <c r="I38" s="11" t="n">
        <v>0</v>
      </c>
      <c r="J38" s="3">
        <f>SUM(D38:G38)</f>
        <v/>
      </c>
      <c r="K38" s="9">
        <f>SUM(D38:I38)</f>
        <v/>
      </c>
      <c r="L38" s="9">
        <f>L37+C38-K38</f>
        <v/>
      </c>
    </row>
    <row r="39">
      <c r="A39" s="12" t="n">
        <v>33</v>
      </c>
      <c r="B39" s="13">
        <f>DATE(YEAR(B6), MONTH(B6)+33, 1)</f>
        <v/>
      </c>
      <c r="C39" s="14">
        <f>Configuration!B7*2</f>
        <v/>
      </c>
      <c r="D39" s="14" t="n">
        <v>320</v>
      </c>
      <c r="E39" s="14" t="n">
        <v>250</v>
      </c>
      <c r="F39" s="14" t="n">
        <v>0</v>
      </c>
      <c r="G39" s="14" t="n">
        <v>0</v>
      </c>
      <c r="H39" s="14" t="n">
        <v>0</v>
      </c>
      <c r="I39" s="14" t="n">
        <v>0</v>
      </c>
      <c r="J39" s="14">
        <f>SUM(D39:G39)</f>
        <v/>
      </c>
      <c r="K39" s="15">
        <f>SUM(D39:I39)</f>
        <v/>
      </c>
      <c r="L39" s="15">
        <f>L38+C39-K39</f>
        <v/>
      </c>
    </row>
    <row r="40">
      <c r="A40" t="n">
        <v>34</v>
      </c>
      <c r="B40" s="4">
        <f>DATE(YEAR(B6), MONTH(B6)+34, 1)</f>
        <v/>
      </c>
      <c r="C40" s="3">
        <f>Configuration!B7*2</f>
        <v/>
      </c>
      <c r="D40" s="3" t="n">
        <v>320</v>
      </c>
      <c r="E40" s="3" t="n">
        <v>250</v>
      </c>
      <c r="F40" s="3" t="n">
        <v>0</v>
      </c>
      <c r="G40" s="3" t="n">
        <v>0</v>
      </c>
      <c r="H40" s="10" t="n">
        <v>150</v>
      </c>
      <c r="I40" s="11" t="n">
        <v>0</v>
      </c>
      <c r="J40" s="3">
        <f>SUM(D40:G40)</f>
        <v/>
      </c>
      <c r="K40" s="9">
        <f>SUM(D40:I40)</f>
        <v/>
      </c>
      <c r="L40" s="9">
        <f>L39+C40-K40</f>
        <v/>
      </c>
    </row>
    <row r="41">
      <c r="A41" t="n">
        <v>35</v>
      </c>
      <c r="B41" s="4">
        <f>DATE(YEAR(B6), MONTH(B6)+35, 1)</f>
        <v/>
      </c>
      <c r="C41" s="3">
        <f>Configuration!B7*2</f>
        <v/>
      </c>
      <c r="D41" s="3" t="n">
        <v>320</v>
      </c>
      <c r="E41" s="3" t="n">
        <v>250</v>
      </c>
      <c r="F41" s="3" t="n">
        <v>0</v>
      </c>
      <c r="G41" s="3" t="n">
        <v>0</v>
      </c>
      <c r="H41" s="10" t="n">
        <v>0</v>
      </c>
      <c r="I41" s="11" t="n">
        <v>0</v>
      </c>
      <c r="J41" s="3">
        <f>SUM(D41:G41)</f>
        <v/>
      </c>
      <c r="K41" s="9">
        <f>SUM(D41:I41)</f>
        <v/>
      </c>
      <c r="L41" s="9">
        <f>L40+C41-K41</f>
        <v/>
      </c>
    </row>
    <row r="42">
      <c r="A42" s="12" t="n">
        <v>36</v>
      </c>
      <c r="B42" s="13">
        <f>DATE(YEAR(B6), MONTH(B6)+36, 1)</f>
        <v/>
      </c>
      <c r="C42" s="14">
        <f>Configuration!B7*2</f>
        <v/>
      </c>
      <c r="D42" s="14" t="n">
        <v>320</v>
      </c>
      <c r="E42" s="14" t="n">
        <v>250</v>
      </c>
      <c r="F42" s="14" t="n">
        <v>0</v>
      </c>
      <c r="G42" s="14" t="n">
        <v>0</v>
      </c>
      <c r="H42" s="14" t="n">
        <v>0</v>
      </c>
      <c r="I42" s="14" t="n">
        <v>0</v>
      </c>
      <c r="J42" s="14">
        <f>SUM(D42:G42)</f>
        <v/>
      </c>
      <c r="K42" s="15">
        <f>SUM(D42:I42)</f>
        <v/>
      </c>
      <c r="L42" s="15">
        <f>L41+C42-K42</f>
        <v/>
      </c>
    </row>
    <row r="44">
      <c r="A44" s="2" t="inlineStr">
        <is>
          <t>Notes:</t>
        </is>
      </c>
    </row>
    <row r="45">
      <c r="A45" s="16" t="inlineStr">
        <is>
          <t>• Yellow cells (Non-Monthly): Automatically populated from Non-Monthly Expenses sheet</t>
        </is>
      </c>
    </row>
    <row r="46">
      <c r="A46" s="16" t="inlineStr">
        <is>
          <t>• Green cells (Other Expenses): Manual entry for unexpected or one-time expenses</t>
        </is>
      </c>
    </row>
    <row r="47">
      <c r="A47" s="16" t="inlineStr">
        <is>
          <t>• Total Recurring: Sum of regular monthly expenses only (Xcel, Verizon, Lawn, Dog Walking, etc.)</t>
        </is>
      </c>
    </row>
    <row r="48">
      <c r="A48" s="16" t="inlineStr">
        <is>
          <t>• Total Expenses: Includes recurring + non-monthly + other expenses</t>
        </is>
      </c>
    </row>
    <row r="49">
      <c r="A49" s="16" t="inlineStr">
        <is>
          <t>• Extend the projection by copying the formulas down to add more months</t>
        </is>
      </c>
    </row>
    <row r="50">
      <c r="A50" s="16" t="inlineStr">
        <is>
          <t>• Update recurring expense amounts in columns D-G when rates change</t>
        </is>
      </c>
    </row>
  </sheetData>
  <mergeCells count="9">
    <mergeCell ref="A2:L2"/>
    <mergeCell ref="A49:L49"/>
    <mergeCell ref="A47:L47"/>
    <mergeCell ref="A1:L1"/>
    <mergeCell ref="A45:L45"/>
    <mergeCell ref="A46:L46"/>
    <mergeCell ref="A3:L3"/>
    <mergeCell ref="A50:L50"/>
    <mergeCell ref="A48:L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Expense Change History</t>
        </is>
      </c>
    </row>
    <row r="2">
      <c r="A2" s="7" t="inlineStr">
        <is>
          <t>Use this sheet to define your recurring expenses and when they change.</t>
        </is>
      </c>
    </row>
    <row r="3">
      <c r="A3" s="7" t="inlineStr">
        <is>
          <t>Each row represents a new value for an expense starting on a specific date.</t>
        </is>
      </c>
    </row>
    <row r="5">
      <c r="A5" s="17" t="inlineStr">
        <is>
          <t>Expense Name</t>
        </is>
      </c>
      <c r="B5" s="17" t="inlineStr">
        <is>
          <t>Effective Date</t>
        </is>
      </c>
      <c r="C5" s="17" t="inlineStr">
        <is>
          <t>Monthly Amount</t>
        </is>
      </c>
      <c r="D5" s="17" t="inlineStr">
        <is>
          <t>Frequency</t>
        </is>
      </c>
      <c r="E5" s="17" t="inlineStr">
        <is>
          <t>Notes</t>
        </is>
      </c>
    </row>
    <row r="6">
      <c r="A6" t="inlineStr">
        <is>
          <t>Xcel Energy</t>
        </is>
      </c>
      <c r="B6" s="4" t="n">
        <v>46023</v>
      </c>
      <c r="C6" s="3" t="n">
        <v>350</v>
      </c>
      <c r="D6" t="inlineStr">
        <is>
          <t>Monthly</t>
        </is>
      </c>
      <c r="E6" t="inlineStr">
        <is>
          <t>Initial rate</t>
        </is>
      </c>
    </row>
    <row r="7">
      <c r="A7" t="inlineStr">
        <is>
          <t>Verizon Wireless</t>
        </is>
      </c>
      <c r="B7" s="4" t="n">
        <v>46023</v>
      </c>
      <c r="C7" s="3" t="n">
        <v>250</v>
      </c>
      <c r="D7" t="inlineStr">
        <is>
          <t>Monthly</t>
        </is>
      </c>
      <c r="E7" t="inlineStr">
        <is>
          <t>Phone bill</t>
        </is>
      </c>
    </row>
    <row r="8">
      <c r="A8" t="inlineStr">
        <is>
          <t>Lawn mowing</t>
        </is>
      </c>
      <c r="B8" s="4" t="n">
        <v>46023</v>
      </c>
      <c r="C8" s="3" t="n">
        <v>160</v>
      </c>
      <c r="D8" t="inlineStr">
        <is>
          <t>Monthly</t>
        </is>
      </c>
      <c r="E8" t="inlineStr">
        <is>
          <t>During growing season</t>
        </is>
      </c>
    </row>
    <row r="9">
      <c r="A9" t="inlineStr">
        <is>
          <t>Dog walking</t>
        </is>
      </c>
      <c r="B9" s="4" t="n">
        <v>46023</v>
      </c>
      <c r="C9" s="3" t="n">
        <v>80</v>
      </c>
      <c r="D9" t="inlineStr">
        <is>
          <t>Monthly</t>
        </is>
      </c>
      <c r="E9" t="inlineStr">
        <is>
          <t>Regular service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Xcel Energy</t>
        </is>
      </c>
      <c r="B11" s="4" t="n">
        <v>46266</v>
      </c>
      <c r="C11" s="3" t="n">
        <v>280</v>
      </c>
      <c r="D11" t="inlineStr">
        <is>
          <t>Monthly</t>
        </is>
      </c>
      <c r="E11" t="inlineStr">
        <is>
          <t>Summer ends - lower usage</t>
        </is>
      </c>
    </row>
    <row r="12">
      <c r="A12" t="inlineStr">
        <is>
          <t>Lawn mowing</t>
        </is>
      </c>
      <c r="B12" s="4" t="n">
        <v>46266</v>
      </c>
      <c r="C12" t="n">
        <v>0</v>
      </c>
      <c r="D12" t="inlineStr">
        <is>
          <t>Monthly</t>
        </is>
      </c>
      <c r="E12" t="inlineStr">
        <is>
          <t>Summer ends - no more mowing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Xcel Energy</t>
        </is>
      </c>
      <c r="B14" s="4" t="n">
        <v>46357</v>
      </c>
      <c r="C14" s="3" t="n">
        <v>320</v>
      </c>
      <c r="D14" t="inlineStr">
        <is>
          <t>Monthly</t>
        </is>
      </c>
      <c r="E14" t="inlineStr">
        <is>
          <t>Winter heating</t>
        </is>
      </c>
    </row>
    <row r="15">
      <c r="A15" t="inlineStr">
        <is>
          <t>Dog walking</t>
        </is>
      </c>
      <c r="B15" s="4" t="n">
        <v>46357</v>
      </c>
      <c r="C15" t="n">
        <v>0</v>
      </c>
      <c r="D15" t="inlineStr">
        <is>
          <t>Monthly</t>
        </is>
      </c>
      <c r="E15" t="inlineStr">
        <is>
          <t>Winter - no more walking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HOA Fees</t>
        </is>
      </c>
      <c r="B17" s="4" t="n">
        <v>46023</v>
      </c>
      <c r="C17" s="3" t="n">
        <v>150</v>
      </c>
      <c r="D17" t="inlineStr">
        <is>
          <t>Quarterly</t>
        </is>
      </c>
      <c r="E17" t="inlineStr">
        <is>
          <t>Paid every 3 months</t>
        </is>
      </c>
    </row>
    <row r="18">
      <c r="A18" t="inlineStr">
        <is>
          <t>Insurance</t>
        </is>
      </c>
      <c r="B18" s="4" t="n">
        <v>46023</v>
      </c>
      <c r="C18" s="3" t="n">
        <v>600</v>
      </c>
      <c r="D18" t="inlineStr">
        <is>
          <t>Semi-Annual</t>
        </is>
      </c>
      <c r="E18" t="inlineStr">
        <is>
          <t>Paid twice per year</t>
        </is>
      </c>
    </row>
    <row r="21">
      <c r="A21" s="16" t="inlineStr">
        <is>
          <t>Frequency options: Monthly, Quarterly, Semi-Annual, Annual</t>
        </is>
      </c>
    </row>
  </sheetData>
  <mergeCells count="4">
    <mergeCell ref="A2:E2"/>
    <mergeCell ref="A21:E2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8" customWidth="1" min="4" max="4"/>
    <col width="18" customWidth="1" min="5" max="5"/>
    <col width="30" customWidth="1" min="6" max="6"/>
  </cols>
  <sheetData>
    <row r="1">
      <c r="A1" s="1" t="inlineStr">
        <is>
          <t>Non-Monthly &amp; One-Time Expenses</t>
        </is>
      </c>
    </row>
    <row r="2">
      <c r="A2" s="7" t="inlineStr">
        <is>
          <t>Track quarterly, semi-annual, annual, and one-time expenses here.</t>
        </is>
      </c>
    </row>
    <row r="3">
      <c r="A3" s="7" t="inlineStr">
        <is>
          <t>These expenses will be included in your projection at the appropriate times.</t>
        </is>
      </c>
    </row>
    <row r="5">
      <c r="A5" s="18" t="inlineStr">
        <is>
          <t>Expense Name</t>
        </is>
      </c>
      <c r="B5" s="18" t="inlineStr">
        <is>
          <t>Amount</t>
        </is>
      </c>
      <c r="C5" s="18" t="inlineStr">
        <is>
          <t>Frequency</t>
        </is>
      </c>
      <c r="D5" s="18" t="inlineStr">
        <is>
          <t>First Payment Date</t>
        </is>
      </c>
      <c r="E5" s="18" t="inlineStr">
        <is>
          <t>Last Payment Date</t>
        </is>
      </c>
      <c r="F5" s="18" t="inlineStr">
        <is>
          <t>Notes</t>
        </is>
      </c>
    </row>
    <row r="6">
      <c r="A6" t="inlineStr">
        <is>
          <t>HOA Fees</t>
        </is>
      </c>
      <c r="B6" s="3" t="n">
        <v>150</v>
      </c>
      <c r="C6" t="inlineStr">
        <is>
          <t>Quarterly</t>
        </is>
      </c>
      <c r="D6" s="4" t="n">
        <v>46023</v>
      </c>
      <c r="E6" s="4" t="n">
        <v>47118</v>
      </c>
      <c r="F6" t="inlineStr">
        <is>
          <t>Paid in Jan, Apr, Jul, Oct</t>
        </is>
      </c>
    </row>
    <row r="7">
      <c r="A7" t="inlineStr">
        <is>
          <t>Car Insurance</t>
        </is>
      </c>
      <c r="B7" s="3" t="n">
        <v>600</v>
      </c>
      <c r="C7" t="inlineStr">
        <is>
          <t>Semi-Annual</t>
        </is>
      </c>
      <c r="D7" s="4" t="n">
        <v>46023</v>
      </c>
      <c r="E7" s="4" t="n">
        <v>47118</v>
      </c>
      <c r="F7" t="inlineStr">
        <is>
          <t>Paid in Jan and Jul</t>
        </is>
      </c>
    </row>
    <row r="8">
      <c r="A8" t="inlineStr">
        <is>
          <t>Property Tax</t>
        </is>
      </c>
      <c r="B8" s="3" t="n">
        <v>2400</v>
      </c>
      <c r="C8" t="inlineStr">
        <is>
          <t>Annual</t>
        </is>
      </c>
      <c r="D8" s="4" t="n">
        <v>46113</v>
      </c>
      <c r="E8" s="4" t="n">
        <v>47118</v>
      </c>
      <c r="F8" t="inlineStr">
        <is>
          <t>Paid once per year in April</t>
        </is>
      </c>
    </row>
    <row r="9">
      <c r="A9" t="inlineStr">
        <is>
          <t>Amazon Prime</t>
        </is>
      </c>
      <c r="B9" s="3" t="n">
        <v>139</v>
      </c>
      <c r="C9" t="inlineStr">
        <is>
          <t>Annual</t>
        </is>
      </c>
      <c r="D9" s="4" t="n">
        <v>46082</v>
      </c>
      <c r="E9" s="4" t="n">
        <v>47118</v>
      </c>
      <c r="F9" t="inlineStr">
        <is>
          <t>Annual subscription</t>
        </is>
      </c>
    </row>
    <row r="10">
      <c r="A10" t="inlineStr">
        <is>
          <t>Holiday Gifts</t>
        </is>
      </c>
      <c r="B10" s="3" t="n">
        <v>800</v>
      </c>
      <c r="C10" t="inlineStr">
        <is>
          <t>Annual</t>
        </is>
      </c>
      <c r="D10" s="4" t="n">
        <v>46357</v>
      </c>
      <c r="E10" s="4" t="n">
        <v>47118</v>
      </c>
      <c r="F10" t="inlineStr">
        <is>
          <t>December shopping</t>
        </is>
      </c>
    </row>
    <row r="11">
      <c r="A11" t="inlineStr">
        <is>
          <t>Car Registration</t>
        </is>
      </c>
      <c r="B11" s="3" t="n">
        <v>180</v>
      </c>
      <c r="C11" t="inlineStr">
        <is>
          <t>Annual</t>
        </is>
      </c>
      <c r="D11" s="4" t="n">
        <v>46174</v>
      </c>
      <c r="E11" s="4" t="n">
        <v>47118</v>
      </c>
      <c r="F11" t="inlineStr">
        <is>
          <t>Renew in June</t>
        </is>
      </c>
    </row>
    <row r="13">
      <c r="A13" s="2" t="inlineStr">
        <is>
          <t>Frequency Guide:</t>
        </is>
      </c>
    </row>
    <row r="14">
      <c r="A14" s="16" t="inlineStr">
        <is>
          <t>• Quarterly: Every 3 months (4 times per year)</t>
        </is>
      </c>
    </row>
    <row r="15">
      <c r="A15" s="16" t="inlineStr">
        <is>
          <t>• Semi-Annual: Every 6 months (2 times per year)</t>
        </is>
      </c>
    </row>
    <row r="16">
      <c r="A16" s="16" t="inlineStr">
        <is>
          <t>• Annual: Once per year</t>
        </is>
      </c>
    </row>
    <row r="17">
      <c r="A17" s="16" t="inlineStr">
        <is>
          <t>• One-Time: Single occurrence (enter same date for First and Last Payment Date)</t>
        </is>
      </c>
    </row>
  </sheetData>
  <mergeCells count="7">
    <mergeCell ref="A2:F2"/>
    <mergeCell ref="A16:F16"/>
    <mergeCell ref="A14:F14"/>
    <mergeCell ref="A1:F1"/>
    <mergeCell ref="A17:F17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2026-02-15T02:51:07Z</dcterms:created>
  <dcterms:modified xsi:type="dcterms:W3CDTF">2026-02-15T02:51:07Z</dcterms:modified>
</cp:coreProperties>
</file>