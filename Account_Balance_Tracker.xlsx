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figuration" sheetId="1" state="visible" r:id="rId1"/>
    <sheet name="Projection" sheetId="2" state="visible" r:id="rId2"/>
    <sheet name="Expense 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yyyy-mm-dd h:mm:ss"/>
    <numFmt numFmtId="166" formatCode="YYYY-MM-DD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  <sz val="12"/>
    </font>
    <font>
      <i val="1"/>
    </font>
    <font>
      <b val="1"/>
      <color rgb="00FFFFFF"/>
    </font>
    <font>
      <i val="1"/>
      <sz val="9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3" fillId="2" borderId="0" pivotButton="0" quotePrefix="0" xfId="0"/>
    <xf numFmtId="10" fontId="0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wrapText="1"/>
    </xf>
    <xf numFmtId="164" fontId="2" fillId="0" borderId="0" pivotButton="0" quotePrefix="0" xfId="0"/>
    <xf numFmtId="0" fontId="5" fillId="2" borderId="0" applyAlignment="1" pivotButton="0" quotePrefix="0" xfId="0">
      <alignment horizontal="center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Account Balance Tracker - Configuration</t>
        </is>
      </c>
    </row>
    <row r="3">
      <c r="A3" s="2" t="inlineStr">
        <is>
          <t>Starting Balance</t>
        </is>
      </c>
      <c r="B3" s="3" t="n">
        <v>10000</v>
      </c>
    </row>
    <row r="4">
      <c r="A4" s="2" t="inlineStr">
        <is>
          <t>Starting Date</t>
        </is>
      </c>
      <c r="B4" s="4" t="n">
        <v>46023</v>
      </c>
    </row>
    <row r="6">
      <c r="A6" s="5" t="inlineStr">
        <is>
          <t>INCOME SETTINGS</t>
        </is>
      </c>
    </row>
    <row r="7">
      <c r="A7" s="2" t="inlineStr">
        <is>
          <t>Bi-Weekly Salary</t>
        </is>
      </c>
      <c r="B7" s="3" t="n">
        <v>3000</v>
      </c>
    </row>
    <row r="8">
      <c r="A8" s="2" t="inlineStr">
        <is>
          <t>Annual Salary Increase %</t>
        </is>
      </c>
      <c r="B8" s="6" t="n">
        <v>0.03</v>
      </c>
    </row>
    <row r="9">
      <c r="A9" s="2" t="inlineStr">
        <is>
          <t>Next Salary Increase Date</t>
        </is>
      </c>
      <c r="B9" s="4" t="n">
        <v>46388</v>
      </c>
    </row>
  </sheetData>
  <mergeCells count="2">
    <mergeCell ref="A1:D1"/>
    <mergeCell ref="A6:D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Account Balance Projection</t>
        </is>
      </c>
    </row>
    <row r="2">
      <c r="A2" s="7" t="inlineStr">
        <is>
          <t>This sheet projects your account balance based on recurring expenses and income.</t>
        </is>
      </c>
    </row>
    <row r="3">
      <c r="A3" s="7" t="inlineStr">
        <is>
          <t>Add one-time expenses in the 'Other Expenses' column.</t>
        </is>
      </c>
    </row>
    <row r="5">
      <c r="A5" s="8" t="inlineStr">
        <is>
          <t>Month</t>
        </is>
      </c>
      <c r="B5" s="8" t="inlineStr">
        <is>
          <t>Date</t>
        </is>
      </c>
      <c r="C5" s="8" t="inlineStr">
        <is>
          <t>Income</t>
        </is>
      </c>
      <c r="D5" s="8" t="inlineStr">
        <is>
          <t>Xcel Energy</t>
        </is>
      </c>
      <c r="E5" s="8" t="inlineStr">
        <is>
          <t>Verizon Wireless</t>
        </is>
      </c>
      <c r="F5" s="8" t="inlineStr">
        <is>
          <t>Lawn Mowing</t>
        </is>
      </c>
      <c r="G5" s="8" t="inlineStr">
        <is>
          <t>Dog Walking</t>
        </is>
      </c>
      <c r="H5" s="8" t="inlineStr">
        <is>
          <t>Other Expenses</t>
        </is>
      </c>
      <c r="I5" s="8" t="inlineStr">
        <is>
          <t>Total Expenses</t>
        </is>
      </c>
      <c r="J5" s="8" t="inlineStr">
        <is>
          <t>Balance</t>
        </is>
      </c>
    </row>
    <row r="6">
      <c r="A6" t="inlineStr">
        <is>
          <t>Starting</t>
        </is>
      </c>
      <c r="B6" s="4">
        <f>Configuration!B4</f>
        <v/>
      </c>
      <c r="J6" s="9">
        <f>Configuration!B3</f>
        <v/>
      </c>
    </row>
    <row r="7">
      <c r="A7" t="n">
        <v>1</v>
      </c>
      <c r="B7" s="4">
        <f>DATE(YEAR(B6), MONTH(B6)+1, 1)</f>
        <v/>
      </c>
      <c r="C7" s="3">
        <f>Configuration!B7*2</f>
        <v/>
      </c>
      <c r="D7" s="3" t="n">
        <v>350</v>
      </c>
      <c r="E7" s="3" t="n">
        <v>250</v>
      </c>
      <c r="F7" s="3" t="n">
        <v>160</v>
      </c>
      <c r="G7" s="3" t="n">
        <v>80</v>
      </c>
      <c r="H7" s="3" t="n">
        <v>0</v>
      </c>
      <c r="I7" s="3">
        <f>SUM(D7:H7)</f>
        <v/>
      </c>
      <c r="J7" s="9">
        <f>J6+C7-I7</f>
        <v/>
      </c>
    </row>
    <row r="8">
      <c r="A8" t="n">
        <v>2</v>
      </c>
      <c r="B8" s="4">
        <f>DATE(YEAR(B6), MONTH(B6)+2, 1)</f>
        <v/>
      </c>
      <c r="C8" s="3">
        <f>Configuration!B7*2</f>
        <v/>
      </c>
      <c r="D8" s="3" t="n">
        <v>350</v>
      </c>
      <c r="E8" s="3" t="n">
        <v>250</v>
      </c>
      <c r="F8" s="3" t="n">
        <v>160</v>
      </c>
      <c r="G8" s="3" t="n">
        <v>80</v>
      </c>
      <c r="H8" s="3" t="n">
        <v>0</v>
      </c>
      <c r="I8" s="3">
        <f>SUM(D8:H8)</f>
        <v/>
      </c>
      <c r="J8" s="9">
        <f>J7+C8-I8</f>
        <v/>
      </c>
    </row>
    <row r="9">
      <c r="A9" t="n">
        <v>3</v>
      </c>
      <c r="B9" s="4">
        <f>DATE(YEAR(B6), MONTH(B6)+3, 1)</f>
        <v/>
      </c>
      <c r="C9" s="3">
        <f>Configuration!B7*2</f>
        <v/>
      </c>
      <c r="D9" s="3" t="n">
        <v>350</v>
      </c>
      <c r="E9" s="3" t="n">
        <v>250</v>
      </c>
      <c r="F9" s="3" t="n">
        <v>160</v>
      </c>
      <c r="G9" s="3" t="n">
        <v>80</v>
      </c>
      <c r="H9" s="3" t="n">
        <v>0</v>
      </c>
      <c r="I9" s="3">
        <f>SUM(D9:H9)</f>
        <v/>
      </c>
      <c r="J9" s="9">
        <f>J8+C9-I9</f>
        <v/>
      </c>
    </row>
    <row r="10">
      <c r="A10" t="n">
        <v>4</v>
      </c>
      <c r="B10" s="4">
        <f>DATE(YEAR(B6), MONTH(B6)+4, 1)</f>
        <v/>
      </c>
      <c r="C10" s="3">
        <f>Configuration!B7*2</f>
        <v/>
      </c>
      <c r="D10" s="3" t="n">
        <v>350</v>
      </c>
      <c r="E10" s="3" t="n">
        <v>250</v>
      </c>
      <c r="F10" s="3" t="n">
        <v>160</v>
      </c>
      <c r="G10" s="3" t="n">
        <v>80</v>
      </c>
      <c r="H10" s="3" t="n">
        <v>0</v>
      </c>
      <c r="I10" s="3">
        <f>SUM(D10:H10)</f>
        <v/>
      </c>
      <c r="J10" s="9">
        <f>J9+C10-I10</f>
        <v/>
      </c>
    </row>
    <row r="11">
      <c r="A11" t="n">
        <v>5</v>
      </c>
      <c r="B11" s="4">
        <f>DATE(YEAR(B6), MONTH(B6)+5, 1)</f>
        <v/>
      </c>
      <c r="C11" s="3">
        <f>Configuration!B7*2</f>
        <v/>
      </c>
      <c r="D11" s="3" t="n">
        <v>350</v>
      </c>
      <c r="E11" s="3" t="n">
        <v>250</v>
      </c>
      <c r="F11" s="3" t="n">
        <v>160</v>
      </c>
      <c r="G11" s="3" t="n">
        <v>80</v>
      </c>
      <c r="H11" s="3" t="n">
        <v>0</v>
      </c>
      <c r="I11" s="3">
        <f>SUM(D11:H11)</f>
        <v/>
      </c>
      <c r="J11" s="9">
        <f>J10+C11-I11</f>
        <v/>
      </c>
    </row>
    <row r="12">
      <c r="A12" t="n">
        <v>6</v>
      </c>
      <c r="B12" s="4">
        <f>DATE(YEAR(B6), MONTH(B6)+6, 1)</f>
        <v/>
      </c>
      <c r="C12" s="3">
        <f>Configuration!B7*2</f>
        <v/>
      </c>
      <c r="D12" s="3" t="n">
        <v>350</v>
      </c>
      <c r="E12" s="3" t="n">
        <v>250</v>
      </c>
      <c r="F12" s="3" t="n">
        <v>160</v>
      </c>
      <c r="G12" s="3" t="n">
        <v>80</v>
      </c>
      <c r="H12" s="3" t="n">
        <v>0</v>
      </c>
      <c r="I12" s="3">
        <f>SUM(D12:H12)</f>
        <v/>
      </c>
      <c r="J12" s="9">
        <f>J11+C12-I12</f>
        <v/>
      </c>
    </row>
    <row r="13">
      <c r="A13" t="n">
        <v>7</v>
      </c>
      <c r="B13" s="4">
        <f>DATE(YEAR(B6), MONTH(B6)+7, 1)</f>
        <v/>
      </c>
      <c r="C13" s="3">
        <f>Configuration!B7*2</f>
        <v/>
      </c>
      <c r="D13" s="3" t="n">
        <v>350</v>
      </c>
      <c r="E13" s="3" t="n">
        <v>250</v>
      </c>
      <c r="F13" s="3" t="n">
        <v>160</v>
      </c>
      <c r="G13" s="3" t="n">
        <v>80</v>
      </c>
      <c r="H13" s="3" t="n">
        <v>0</v>
      </c>
      <c r="I13" s="3">
        <f>SUM(D13:H13)</f>
        <v/>
      </c>
      <c r="J13" s="9">
        <f>J12+C13-I13</f>
        <v/>
      </c>
    </row>
    <row r="14">
      <c r="A14" t="n">
        <v>8</v>
      </c>
      <c r="B14" s="4">
        <f>DATE(YEAR(B6), MONTH(B6)+8, 1)</f>
        <v/>
      </c>
      <c r="C14" s="3">
        <f>Configuration!B7*2</f>
        <v/>
      </c>
      <c r="D14" s="3" t="n">
        <v>350</v>
      </c>
      <c r="E14" s="3" t="n">
        <v>250</v>
      </c>
      <c r="F14" s="3" t="n">
        <v>160</v>
      </c>
      <c r="G14" s="3" t="n">
        <v>80</v>
      </c>
      <c r="H14" s="3" t="n">
        <v>0</v>
      </c>
      <c r="I14" s="3">
        <f>SUM(D14:H14)</f>
        <v/>
      </c>
      <c r="J14" s="9">
        <f>J13+C14-I14</f>
        <v/>
      </c>
    </row>
    <row r="15">
      <c r="A15" t="n">
        <v>9</v>
      </c>
      <c r="B15" s="4">
        <f>DATE(YEAR(B6), MONTH(B6)+9, 1)</f>
        <v/>
      </c>
      <c r="C15" s="3">
        <f>Configuration!B7*2</f>
        <v/>
      </c>
      <c r="D15" s="3" t="n">
        <v>280</v>
      </c>
      <c r="E15" s="3" t="n">
        <v>250</v>
      </c>
      <c r="F15" s="3" t="n">
        <v>0</v>
      </c>
      <c r="G15" s="3" t="n">
        <v>80</v>
      </c>
      <c r="H15" s="3" t="n">
        <v>0</v>
      </c>
      <c r="I15" s="3">
        <f>SUM(D15:H15)</f>
        <v/>
      </c>
      <c r="J15" s="9">
        <f>J14+C15-I15</f>
        <v/>
      </c>
    </row>
    <row r="16">
      <c r="A16" t="n">
        <v>10</v>
      </c>
      <c r="B16" s="4">
        <f>DATE(YEAR(B6), MONTH(B6)+10, 1)</f>
        <v/>
      </c>
      <c r="C16" s="3">
        <f>Configuration!B7*2</f>
        <v/>
      </c>
      <c r="D16" s="3" t="n">
        <v>280</v>
      </c>
      <c r="E16" s="3" t="n">
        <v>250</v>
      </c>
      <c r="F16" s="3" t="n">
        <v>0</v>
      </c>
      <c r="G16" s="3" t="n">
        <v>80</v>
      </c>
      <c r="H16" s="3" t="n">
        <v>0</v>
      </c>
      <c r="I16" s="3">
        <f>SUM(D16:H16)</f>
        <v/>
      </c>
      <c r="J16" s="9">
        <f>J15+C16-I16</f>
        <v/>
      </c>
    </row>
    <row r="17">
      <c r="A17" t="n">
        <v>11</v>
      </c>
      <c r="B17" s="4">
        <f>DATE(YEAR(B6), MONTH(B6)+11, 1)</f>
        <v/>
      </c>
      <c r="C17" s="3">
        <f>Configuration!B7*2</f>
        <v/>
      </c>
      <c r="D17" s="3" t="n">
        <v>280</v>
      </c>
      <c r="E17" s="3" t="n">
        <v>250</v>
      </c>
      <c r="F17" s="3" t="n">
        <v>0</v>
      </c>
      <c r="G17" s="3" t="n">
        <v>80</v>
      </c>
      <c r="H17" s="3" t="n">
        <v>0</v>
      </c>
      <c r="I17" s="3">
        <f>SUM(D17:H17)</f>
        <v/>
      </c>
      <c r="J17" s="9">
        <f>J16+C17-I17</f>
        <v/>
      </c>
    </row>
    <row r="18">
      <c r="A18" t="n">
        <v>12</v>
      </c>
      <c r="B18" s="4">
        <f>DATE(YEAR(B6), MONTH(B6)+12, 1)</f>
        <v/>
      </c>
      <c r="C18" s="3">
        <f>Configuration!B7*2</f>
        <v/>
      </c>
      <c r="D18" s="3" t="n">
        <v>320</v>
      </c>
      <c r="E18" s="3" t="n">
        <v>250</v>
      </c>
      <c r="F18" s="3" t="n">
        <v>0</v>
      </c>
      <c r="G18" s="3" t="n">
        <v>0</v>
      </c>
      <c r="H18" s="3" t="n">
        <v>0</v>
      </c>
      <c r="I18" s="3">
        <f>SUM(D18:H18)</f>
        <v/>
      </c>
      <c r="J18" s="9">
        <f>J17+C18-I18</f>
        <v/>
      </c>
    </row>
    <row r="19">
      <c r="A19" t="n">
        <v>13</v>
      </c>
      <c r="B19" s="4">
        <f>DATE(YEAR(B6), MONTH(B6)+13, 1)</f>
        <v/>
      </c>
      <c r="C19" s="3">
        <f>Configuration!B7*2</f>
        <v/>
      </c>
      <c r="D19" s="3" t="n">
        <v>320</v>
      </c>
      <c r="E19" s="3" t="n">
        <v>250</v>
      </c>
      <c r="F19" s="3" t="n">
        <v>0</v>
      </c>
      <c r="G19" s="3" t="n">
        <v>0</v>
      </c>
      <c r="H19" s="3" t="n">
        <v>0</v>
      </c>
      <c r="I19" s="3">
        <f>SUM(D19:H19)</f>
        <v/>
      </c>
      <c r="J19" s="9">
        <f>J18+C19-I19</f>
        <v/>
      </c>
    </row>
    <row r="20">
      <c r="A20" t="n">
        <v>14</v>
      </c>
      <c r="B20" s="4">
        <f>DATE(YEAR(B6), MONTH(B6)+14, 1)</f>
        <v/>
      </c>
      <c r="C20" s="3">
        <f>Configuration!B7*2</f>
        <v/>
      </c>
      <c r="D20" s="3" t="n">
        <v>320</v>
      </c>
      <c r="E20" s="3" t="n">
        <v>250</v>
      </c>
      <c r="F20" s="3" t="n">
        <v>0</v>
      </c>
      <c r="G20" s="3" t="n">
        <v>0</v>
      </c>
      <c r="H20" s="3" t="n">
        <v>0</v>
      </c>
      <c r="I20" s="3">
        <f>SUM(D20:H20)</f>
        <v/>
      </c>
      <c r="J20" s="9">
        <f>J19+C20-I20</f>
        <v/>
      </c>
    </row>
    <row r="21">
      <c r="A21" t="n">
        <v>15</v>
      </c>
      <c r="B21" s="4">
        <f>DATE(YEAR(B6), MONTH(B6)+15, 1)</f>
        <v/>
      </c>
      <c r="C21" s="3">
        <f>Configuration!B7*2</f>
        <v/>
      </c>
      <c r="D21" s="3" t="n">
        <v>320</v>
      </c>
      <c r="E21" s="3" t="n">
        <v>250</v>
      </c>
      <c r="F21" s="3" t="n">
        <v>0</v>
      </c>
      <c r="G21" s="3" t="n">
        <v>0</v>
      </c>
      <c r="H21" s="3" t="n">
        <v>0</v>
      </c>
      <c r="I21" s="3">
        <f>SUM(D21:H21)</f>
        <v/>
      </c>
      <c r="J21" s="9">
        <f>J20+C21-I21</f>
        <v/>
      </c>
    </row>
    <row r="22">
      <c r="A22" t="n">
        <v>16</v>
      </c>
      <c r="B22" s="4">
        <f>DATE(YEAR(B6), MONTH(B6)+16, 1)</f>
        <v/>
      </c>
      <c r="C22" s="3">
        <f>Configuration!B7*2</f>
        <v/>
      </c>
      <c r="D22" s="3" t="n">
        <v>320</v>
      </c>
      <c r="E22" s="3" t="n">
        <v>250</v>
      </c>
      <c r="F22" s="3" t="n">
        <v>0</v>
      </c>
      <c r="G22" s="3" t="n">
        <v>0</v>
      </c>
      <c r="H22" s="3" t="n">
        <v>0</v>
      </c>
      <c r="I22" s="3">
        <f>SUM(D22:H22)</f>
        <v/>
      </c>
      <c r="J22" s="9">
        <f>J21+C22-I22</f>
        <v/>
      </c>
    </row>
    <row r="23">
      <c r="A23" t="n">
        <v>17</v>
      </c>
      <c r="B23" s="4">
        <f>DATE(YEAR(B6), MONTH(B6)+17, 1)</f>
        <v/>
      </c>
      <c r="C23" s="3">
        <f>Configuration!B7*2</f>
        <v/>
      </c>
      <c r="D23" s="3" t="n">
        <v>320</v>
      </c>
      <c r="E23" s="3" t="n">
        <v>250</v>
      </c>
      <c r="F23" s="3" t="n">
        <v>0</v>
      </c>
      <c r="G23" s="3" t="n">
        <v>0</v>
      </c>
      <c r="H23" s="3" t="n">
        <v>0</v>
      </c>
      <c r="I23" s="3">
        <f>SUM(D23:H23)</f>
        <v/>
      </c>
      <c r="J23" s="9">
        <f>J22+C23-I23</f>
        <v/>
      </c>
    </row>
    <row r="24">
      <c r="A24" t="n">
        <v>18</v>
      </c>
      <c r="B24" s="4">
        <f>DATE(YEAR(B6), MONTH(B6)+18, 1)</f>
        <v/>
      </c>
      <c r="C24" s="3">
        <f>Configuration!B7*2</f>
        <v/>
      </c>
      <c r="D24" s="3" t="n">
        <v>320</v>
      </c>
      <c r="E24" s="3" t="n">
        <v>250</v>
      </c>
      <c r="F24" s="3" t="n">
        <v>0</v>
      </c>
      <c r="G24" s="3" t="n">
        <v>0</v>
      </c>
      <c r="H24" s="3" t="n">
        <v>0</v>
      </c>
      <c r="I24" s="3">
        <f>SUM(D24:H24)</f>
        <v/>
      </c>
      <c r="J24" s="9">
        <f>J23+C24-I24</f>
        <v/>
      </c>
    </row>
    <row r="25">
      <c r="A25" t="n">
        <v>19</v>
      </c>
      <c r="B25" s="4">
        <f>DATE(YEAR(B6), MONTH(B6)+19, 1)</f>
        <v/>
      </c>
      <c r="C25" s="3">
        <f>Configuration!B7*2</f>
        <v/>
      </c>
      <c r="D25" s="3" t="n">
        <v>320</v>
      </c>
      <c r="E25" s="3" t="n">
        <v>250</v>
      </c>
      <c r="F25" s="3" t="n">
        <v>0</v>
      </c>
      <c r="G25" s="3" t="n">
        <v>0</v>
      </c>
      <c r="H25" s="3" t="n">
        <v>0</v>
      </c>
      <c r="I25" s="3">
        <f>SUM(D25:H25)</f>
        <v/>
      </c>
      <c r="J25" s="9">
        <f>J24+C25-I25</f>
        <v/>
      </c>
    </row>
    <row r="26">
      <c r="A26" t="n">
        <v>20</v>
      </c>
      <c r="B26" s="4">
        <f>DATE(YEAR(B6), MONTH(B6)+20, 1)</f>
        <v/>
      </c>
      <c r="C26" s="3">
        <f>Configuration!B7*2</f>
        <v/>
      </c>
      <c r="D26" s="3" t="n">
        <v>320</v>
      </c>
      <c r="E26" s="3" t="n">
        <v>250</v>
      </c>
      <c r="F26" s="3" t="n">
        <v>0</v>
      </c>
      <c r="G26" s="3" t="n">
        <v>0</v>
      </c>
      <c r="H26" s="3" t="n">
        <v>0</v>
      </c>
      <c r="I26" s="3">
        <f>SUM(D26:H26)</f>
        <v/>
      </c>
      <c r="J26" s="9">
        <f>J25+C26-I26</f>
        <v/>
      </c>
    </row>
    <row r="27">
      <c r="A27" t="n">
        <v>21</v>
      </c>
      <c r="B27" s="4">
        <f>DATE(YEAR(B6), MONTH(B6)+21, 1)</f>
        <v/>
      </c>
      <c r="C27" s="3">
        <f>Configuration!B7*2</f>
        <v/>
      </c>
      <c r="D27" s="3" t="n">
        <v>320</v>
      </c>
      <c r="E27" s="3" t="n">
        <v>250</v>
      </c>
      <c r="F27" s="3" t="n">
        <v>0</v>
      </c>
      <c r="G27" s="3" t="n">
        <v>0</v>
      </c>
      <c r="H27" s="3" t="n">
        <v>0</v>
      </c>
      <c r="I27" s="3">
        <f>SUM(D27:H27)</f>
        <v/>
      </c>
      <c r="J27" s="9">
        <f>J26+C27-I27</f>
        <v/>
      </c>
    </row>
    <row r="28">
      <c r="A28" t="n">
        <v>22</v>
      </c>
      <c r="B28" s="4">
        <f>DATE(YEAR(B6), MONTH(B6)+22, 1)</f>
        <v/>
      </c>
      <c r="C28" s="3">
        <f>Configuration!B7*2</f>
        <v/>
      </c>
      <c r="D28" s="3" t="n">
        <v>320</v>
      </c>
      <c r="E28" s="3" t="n">
        <v>250</v>
      </c>
      <c r="F28" s="3" t="n">
        <v>0</v>
      </c>
      <c r="G28" s="3" t="n">
        <v>0</v>
      </c>
      <c r="H28" s="3" t="n">
        <v>0</v>
      </c>
      <c r="I28" s="3">
        <f>SUM(D28:H28)</f>
        <v/>
      </c>
      <c r="J28" s="9">
        <f>J27+C28-I28</f>
        <v/>
      </c>
    </row>
    <row r="29">
      <c r="A29" t="n">
        <v>23</v>
      </c>
      <c r="B29" s="4">
        <f>DATE(YEAR(B6), MONTH(B6)+23, 1)</f>
        <v/>
      </c>
      <c r="C29" s="3">
        <f>Configuration!B7*2</f>
        <v/>
      </c>
      <c r="D29" s="3" t="n">
        <v>320</v>
      </c>
      <c r="E29" s="3" t="n">
        <v>250</v>
      </c>
      <c r="F29" s="3" t="n">
        <v>0</v>
      </c>
      <c r="G29" s="3" t="n">
        <v>0</v>
      </c>
      <c r="H29" s="3" t="n">
        <v>0</v>
      </c>
      <c r="I29" s="3">
        <f>SUM(D29:H29)</f>
        <v/>
      </c>
      <c r="J29" s="9">
        <f>J28+C29-I29</f>
        <v/>
      </c>
    </row>
    <row r="30">
      <c r="A30" t="n">
        <v>24</v>
      </c>
      <c r="B30" s="4">
        <f>DATE(YEAR(B6), MONTH(B6)+24, 1)</f>
        <v/>
      </c>
      <c r="C30" s="3">
        <f>Configuration!B7*2</f>
        <v/>
      </c>
      <c r="D30" s="3" t="n">
        <v>320</v>
      </c>
      <c r="E30" s="3" t="n">
        <v>250</v>
      </c>
      <c r="F30" s="3" t="n">
        <v>0</v>
      </c>
      <c r="G30" s="3" t="n">
        <v>0</v>
      </c>
      <c r="H30" s="3" t="n">
        <v>0</v>
      </c>
      <c r="I30" s="3">
        <f>SUM(D30:H30)</f>
        <v/>
      </c>
      <c r="J30" s="9">
        <f>J29+C30-I30</f>
        <v/>
      </c>
    </row>
    <row r="32">
      <c r="A32" s="2" t="inlineStr">
        <is>
          <t>Notes:</t>
        </is>
      </c>
    </row>
    <row r="33">
      <c r="A33" t="inlineStr">
        <is>
          <t>• Update 'Other Expenses' column for one-time or variable expenses</t>
        </is>
      </c>
    </row>
    <row r="34">
      <c r="A34" t="inlineStr">
        <is>
          <t>• Recurring expense amounts are based on 'Expense History' sheet</t>
        </is>
      </c>
    </row>
    <row r="35">
      <c r="A35" t="inlineStr">
        <is>
          <t>• Add more columns for additional recurring expense categories as needed</t>
        </is>
      </c>
    </row>
  </sheetData>
  <mergeCells count="6">
    <mergeCell ref="A1:J1"/>
    <mergeCell ref="A3:J3"/>
    <mergeCell ref="A34:J34"/>
    <mergeCell ref="A35:J35"/>
    <mergeCell ref="A2:J2"/>
    <mergeCell ref="A33:J3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30" customWidth="1" min="5" max="5"/>
  </cols>
  <sheetData>
    <row r="1">
      <c r="A1" s="1" t="inlineStr">
        <is>
          <t>Expense Change History</t>
        </is>
      </c>
    </row>
    <row r="2">
      <c r="A2" s="7" t="inlineStr">
        <is>
          <t>Use this sheet to define your recurring expenses and when they change.</t>
        </is>
      </c>
    </row>
    <row r="3">
      <c r="A3" s="7" t="inlineStr">
        <is>
          <t>Each row represents a new value for an expense starting on a specific date.</t>
        </is>
      </c>
    </row>
    <row r="5">
      <c r="A5" s="10" t="inlineStr">
        <is>
          <t>Expense Name</t>
        </is>
      </c>
      <c r="B5" s="10" t="inlineStr">
        <is>
          <t>Effective Date</t>
        </is>
      </c>
      <c r="C5" s="10" t="inlineStr">
        <is>
          <t>Monthly Amount</t>
        </is>
      </c>
      <c r="D5" s="10" t="inlineStr">
        <is>
          <t>Frequency</t>
        </is>
      </c>
      <c r="E5" s="10" t="inlineStr">
        <is>
          <t>Notes</t>
        </is>
      </c>
    </row>
    <row r="6">
      <c r="A6" t="inlineStr">
        <is>
          <t>Xcel Energy</t>
        </is>
      </c>
      <c r="B6" s="4" t="n">
        <v>46023</v>
      </c>
      <c r="C6" s="3" t="n">
        <v>350</v>
      </c>
      <c r="D6" t="inlineStr">
        <is>
          <t>Monthly</t>
        </is>
      </c>
      <c r="E6" t="inlineStr">
        <is>
          <t>Initial rate</t>
        </is>
      </c>
    </row>
    <row r="7">
      <c r="A7" t="inlineStr">
        <is>
          <t>Verizon Wireless</t>
        </is>
      </c>
      <c r="B7" s="4" t="n">
        <v>46023</v>
      </c>
      <c r="C7" s="3" t="n">
        <v>250</v>
      </c>
      <c r="D7" t="inlineStr">
        <is>
          <t>Monthly</t>
        </is>
      </c>
      <c r="E7" t="inlineStr">
        <is>
          <t>Phone bill</t>
        </is>
      </c>
    </row>
    <row r="8">
      <c r="A8" t="inlineStr">
        <is>
          <t>Lawn mowing</t>
        </is>
      </c>
      <c r="B8" s="4" t="n">
        <v>46023</v>
      </c>
      <c r="C8" s="3" t="n">
        <v>160</v>
      </c>
      <c r="D8" t="inlineStr">
        <is>
          <t>Monthly</t>
        </is>
      </c>
      <c r="E8" t="inlineStr">
        <is>
          <t>During growing season</t>
        </is>
      </c>
    </row>
    <row r="9">
      <c r="A9" t="inlineStr">
        <is>
          <t>Dog walking</t>
        </is>
      </c>
      <c r="B9" s="4" t="n">
        <v>46023</v>
      </c>
      <c r="C9" s="3" t="n">
        <v>80</v>
      </c>
      <c r="D9" t="inlineStr">
        <is>
          <t>Monthly</t>
        </is>
      </c>
      <c r="E9" t="inlineStr">
        <is>
          <t>Regular service</t>
        </is>
      </c>
    </row>
    <row r="10">
      <c r="A10" t="inlineStr"/>
      <c r="B10" t="inlineStr"/>
      <c r="C10" t="inlineStr"/>
      <c r="D10" t="inlineStr"/>
      <c r="E10" t="inlineStr"/>
    </row>
    <row r="11">
      <c r="A11" t="inlineStr">
        <is>
          <t>Xcel Energy</t>
        </is>
      </c>
      <c r="B11" s="4" t="n">
        <v>46266</v>
      </c>
      <c r="C11" s="3" t="n">
        <v>280</v>
      </c>
      <c r="D11" t="inlineStr">
        <is>
          <t>Monthly</t>
        </is>
      </c>
      <c r="E11" t="inlineStr">
        <is>
          <t>Summer ends - lower usage</t>
        </is>
      </c>
    </row>
    <row r="12">
      <c r="A12" t="inlineStr">
        <is>
          <t>Lawn mowing</t>
        </is>
      </c>
      <c r="B12" s="4" t="n">
        <v>46266</v>
      </c>
      <c r="C12" t="n">
        <v>0</v>
      </c>
      <c r="D12" t="inlineStr">
        <is>
          <t>Monthly</t>
        </is>
      </c>
      <c r="E12" t="inlineStr">
        <is>
          <t>Summer ends - no more mowing</t>
        </is>
      </c>
    </row>
    <row r="13">
      <c r="A13" t="inlineStr"/>
      <c r="B13" t="inlineStr"/>
      <c r="C13" t="inlineStr"/>
      <c r="D13" t="inlineStr"/>
      <c r="E13" t="inlineStr"/>
    </row>
    <row r="14">
      <c r="A14" t="inlineStr">
        <is>
          <t>Xcel Energy</t>
        </is>
      </c>
      <c r="B14" s="4" t="n">
        <v>46357</v>
      </c>
      <c r="C14" s="3" t="n">
        <v>320</v>
      </c>
      <c r="D14" t="inlineStr">
        <is>
          <t>Monthly</t>
        </is>
      </c>
      <c r="E14" t="inlineStr">
        <is>
          <t>Winter heating</t>
        </is>
      </c>
    </row>
    <row r="15">
      <c r="A15" t="inlineStr">
        <is>
          <t>Dog walking</t>
        </is>
      </c>
      <c r="B15" s="4" t="n">
        <v>46357</v>
      </c>
      <c r="C15" t="n">
        <v>0</v>
      </c>
      <c r="D15" t="inlineStr">
        <is>
          <t>Monthly</t>
        </is>
      </c>
      <c r="E15" t="inlineStr">
        <is>
          <t>Winter - no more walking</t>
        </is>
      </c>
    </row>
    <row r="16">
      <c r="A16" t="inlineStr"/>
      <c r="B16" t="inlineStr"/>
      <c r="C16" t="inlineStr"/>
      <c r="D16" t="inlineStr"/>
      <c r="E16" t="inlineStr"/>
    </row>
    <row r="17">
      <c r="A17" t="inlineStr">
        <is>
          <t>HOA Fees</t>
        </is>
      </c>
      <c r="B17" s="4" t="n">
        <v>46023</v>
      </c>
      <c r="C17" s="3" t="n">
        <v>150</v>
      </c>
      <c r="D17" t="inlineStr">
        <is>
          <t>Quarterly</t>
        </is>
      </c>
      <c r="E17" t="inlineStr">
        <is>
          <t>Paid every 3 months</t>
        </is>
      </c>
    </row>
    <row r="18">
      <c r="A18" t="inlineStr">
        <is>
          <t>Insurance</t>
        </is>
      </c>
      <c r="B18" s="4" t="n">
        <v>46023</v>
      </c>
      <c r="C18" s="3" t="n">
        <v>600</v>
      </c>
      <c r="D18" t="inlineStr">
        <is>
          <t>Semi-Annual</t>
        </is>
      </c>
      <c r="E18" t="inlineStr">
        <is>
          <t>Paid twice per year</t>
        </is>
      </c>
    </row>
    <row r="21">
      <c r="A21" s="11" t="inlineStr">
        <is>
          <t>Frequency options: Monthly, Quarterly, Semi-Annual, Annual</t>
        </is>
      </c>
    </row>
  </sheetData>
  <mergeCells count="4">
    <mergeCell ref="A2:E2"/>
    <mergeCell ref="A21:E21"/>
    <mergeCell ref="A1:E1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2026-02-15T02:48:52Z</dcterms:created>
  <dcterms:modified xsi:type="dcterms:W3CDTF">2026-02-15T02:48:52Z</dcterms:modified>
</cp:coreProperties>
</file>